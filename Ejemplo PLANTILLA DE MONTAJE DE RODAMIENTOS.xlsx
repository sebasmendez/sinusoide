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AJE DE ROD" sheetId="1" r:id="rId4"/>
    <sheet state="visible" name="DATOS SKF SIN MONTAR" sheetId="2" r:id="rId5"/>
    <sheet state="visible" name="REDUCCION DEL JUEGO RESIDUAL" sheetId="3" r:id="rId6"/>
  </sheets>
  <definedNames/>
  <calcPr/>
  <extLst>
    <ext uri="GoogleSheetsCustomDataVersion2">
      <go:sheetsCustomData xmlns:go="http://customooxmlschemas.google.com/" r:id="rId7" roundtripDataChecksum="eiCkUU6rR5jWbDuLOgDLttdQijwG9MaP9Fc8bP1SWMk="/>
    </ext>
  </extLst>
</workbook>
</file>

<file path=xl/sharedStrings.xml><?xml version="1.0" encoding="utf-8"?>
<sst xmlns="http://schemas.openxmlformats.org/spreadsheetml/2006/main" count="72" uniqueCount="48">
  <si>
    <t>MONTAJE DE RODAMIENTOS</t>
  </si>
  <si>
    <t>EQUIPO</t>
  </si>
  <si>
    <t>TAG</t>
  </si>
  <si>
    <t>EJE</t>
  </si>
  <si>
    <t>Cilindrico</t>
  </si>
  <si>
    <t>CAJA PORT</t>
  </si>
  <si>
    <t>SNL 526-619</t>
  </si>
  <si>
    <t>SELLOS</t>
  </si>
  <si>
    <t>Tsn 526</t>
  </si>
  <si>
    <t>MANGUITO</t>
  </si>
  <si>
    <t>H319</t>
  </si>
  <si>
    <t>TIPO</t>
  </si>
  <si>
    <t>Rodillos a rotula</t>
  </si>
  <si>
    <t xml:space="preserve"> RODAMIENTO</t>
  </si>
  <si>
    <t>C2</t>
  </si>
  <si>
    <t>Lado rodete</t>
  </si>
  <si>
    <t>Tipo de rodamiento y ubicación del mismo</t>
  </si>
  <si>
    <t>GALGEO ANTES DEL MONTAJE</t>
  </si>
  <si>
    <t>Medicion con sonda del rodamiento antes de montar</t>
  </si>
  <si>
    <t>REFERENCIA SIN MONTAR</t>
  </si>
  <si>
    <t>Referencia de tolerancia para el juego antes de montar . Sale de la pestaña 2 Datos sin montar y se busca por rango de diametro de eje</t>
  </si>
  <si>
    <t>Calado axial</t>
  </si>
  <si>
    <t>Reducción del juego radial para montaje de acuerdo a manual SKF de pestaña 3 y se busca con el rango de diametro de eje</t>
  </si>
  <si>
    <t>CÁLCULO DEL JUEGO</t>
  </si>
  <si>
    <t>Cálculo del juego residual para lograr el ajuste del montaje correcto</t>
  </si>
  <si>
    <t>AJUSTE FINAL</t>
  </si>
  <si>
    <t>Ajuste final del rodamientos montado se mide con sonda una vez montado el rodamiento</t>
  </si>
  <si>
    <t>EL diamietro de agujero se calcula con los dos ultimos numeros del rodaimento x 5 : ejemplo rodamiento 22319 el diametro del eje es 95</t>
  </si>
  <si>
    <t>Juego radial interno de los rodamientos de rodillos a rótula con un agujero cónico</t>
  </si>
  <si>
    <t>DIÁMETRO DEL AGUJERO</t>
  </si>
  <si>
    <t>JUEGO RADIAL INTERNO (micrones)</t>
  </si>
  <si>
    <t>NORMAL</t>
  </si>
  <si>
    <t>C3</t>
  </si>
  <si>
    <t>C4</t>
  </si>
  <si>
    <t>C5</t>
  </si>
  <si>
    <t>&gt;mm</t>
  </si>
  <si>
    <t>&lt;mm</t>
  </si>
  <si>
    <t>MIN</t>
  </si>
  <si>
    <t>MAX</t>
  </si>
  <si>
    <t xml:space="preserve">MIN </t>
  </si>
  <si>
    <t>X</t>
  </si>
  <si>
    <t>Datos del calado para los rodamientos de rodillos a rótula con un agujero cónico</t>
  </si>
  <si>
    <t>REDUCCUÓN DEL JUEGO RADIAL INTERNO</t>
  </si>
  <si>
    <t>CALADO AXIAL(mm)</t>
  </si>
  <si>
    <t>ÁNGULO DE APRIETE</t>
  </si>
  <si>
    <t>CONICIDAD 1:12</t>
  </si>
  <si>
    <t>CONICIDAD 1:30</t>
  </si>
  <si>
    <t>CONICIDAD 1:12 &amp;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</si>
</sst>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/>
    <font>
      <b/>
      <sz val="15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3" fillId="0" fontId="2" numFmtId="0" xfId="0" applyAlignment="1" applyBorder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5" fillId="0" fontId="4" numFmtId="164" xfId="0" applyAlignment="1" applyBorder="1" applyFont="1" applyNumberForma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8" fillId="0" fontId="2" numFmtId="0" xfId="0" applyAlignment="1" applyBorder="1" applyFont="1">
      <alignment horizontal="center" vertical="center"/>
    </xf>
    <xf borderId="9" fillId="2" fontId="1" numFmtId="0" xfId="0" applyAlignment="1" applyBorder="1" applyFill="1" applyFont="1">
      <alignment horizontal="center"/>
    </xf>
    <xf borderId="6" fillId="0" fontId="1" numFmtId="0" xfId="0" applyAlignment="1" applyBorder="1" applyFont="1">
      <alignment horizontal="center"/>
    </xf>
    <xf borderId="10" fillId="3" fontId="1" numFmtId="0" xfId="0" applyAlignment="1" applyBorder="1" applyFill="1" applyFont="1">
      <alignment horizontal="center"/>
    </xf>
    <xf borderId="11" fillId="2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/>
    </xf>
    <xf borderId="12" fillId="4" fontId="1" numFmtId="0" xfId="0" applyAlignment="1" applyBorder="1" applyFill="1" applyFont="1">
      <alignment horizontal="center"/>
    </xf>
    <xf borderId="13" fillId="4" fontId="1" numFmtId="0" xfId="0" applyAlignment="1" applyBorder="1" applyFont="1">
      <alignment horizontal="center"/>
    </xf>
    <xf borderId="14" fillId="2" fontId="1" numFmtId="0" xfId="0" applyAlignment="1" applyBorder="1" applyFont="1">
      <alignment horizontal="left"/>
    </xf>
    <xf borderId="15" fillId="4" fontId="1" numFmtId="0" xfId="0" applyAlignment="1" applyBorder="1" applyFont="1">
      <alignment horizontal="center" readingOrder="0"/>
    </xf>
    <xf borderId="16" fillId="4" fontId="1" numFmtId="0" xfId="0" applyAlignment="1" applyBorder="1" applyFont="1">
      <alignment horizontal="center" readingOrder="0"/>
    </xf>
    <xf borderId="13" fillId="2" fontId="1" numFmtId="0" xfId="0" applyAlignment="1" applyBorder="1" applyFont="1">
      <alignment horizontal="center" readingOrder="0"/>
    </xf>
    <xf borderId="13" fillId="0" fontId="3" numFmtId="0" xfId="0" applyBorder="1" applyFont="1"/>
    <xf borderId="12" fillId="0" fontId="1" numFmtId="0" xfId="0" applyAlignment="1" applyBorder="1" applyFont="1">
      <alignment horizontal="left"/>
    </xf>
    <xf borderId="16" fillId="0" fontId="3" numFmtId="0" xfId="0" applyBorder="1" applyFont="1"/>
    <xf borderId="0" fillId="0" fontId="5" numFmtId="0" xfId="0" applyAlignment="1" applyFont="1">
      <alignment horizontal="left"/>
    </xf>
    <xf borderId="17" fillId="2" fontId="1" numFmtId="0" xfId="0" applyAlignment="1" applyBorder="1" applyFont="1">
      <alignment horizontal="left"/>
    </xf>
    <xf borderId="18" fillId="2" fontId="1" numFmtId="0" xfId="0" applyAlignment="1" applyBorder="1" applyFont="1">
      <alignment horizontal="left"/>
    </xf>
    <xf borderId="13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 vertical="center"/>
    </xf>
    <xf borderId="12" fillId="2" fontId="1" numFmtId="0" xfId="0" applyAlignment="1" applyBorder="1" applyFont="1">
      <alignment horizontal="left"/>
    </xf>
    <xf borderId="9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left" readingOrder="0" vertical="center"/>
    </xf>
    <xf borderId="12" fillId="2" fontId="1" numFmtId="0" xfId="0" applyAlignment="1" applyBorder="1" applyFont="1">
      <alignment horizontal="left" readingOrder="0"/>
    </xf>
    <xf borderId="12" fillId="0" fontId="1" numFmtId="0" xfId="0" applyAlignment="1" applyBorder="1" applyFont="1">
      <alignment horizontal="left" readingOrder="0"/>
    </xf>
    <xf borderId="12" fillId="2" fontId="1" numFmtId="0" xfId="0" applyAlignment="1" applyBorder="1" applyFont="1">
      <alignment horizontal="left" vertical="center"/>
    </xf>
    <xf borderId="12" fillId="0" fontId="1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2" fillId="3" fontId="6" numFmtId="0" xfId="0" applyAlignment="1" applyBorder="1" applyFont="1">
      <alignment horizontal="center"/>
    </xf>
    <xf borderId="19" fillId="3" fontId="6" numFmtId="0" xfId="0" applyAlignment="1" applyBorder="1" applyFont="1">
      <alignment horizontal="center"/>
    </xf>
    <xf borderId="9" fillId="3" fontId="6" numFmtId="0" xfId="0" applyAlignment="1" applyBorder="1" applyFont="1">
      <alignment horizontal="center"/>
    </xf>
    <xf borderId="9" fillId="0" fontId="1" numFmtId="0" xfId="0" applyAlignment="1" applyBorder="1" applyFont="1">
      <alignment horizontal="center" vertical="center"/>
    </xf>
    <xf borderId="19" fillId="3" fontId="1" numFmtId="0" xfId="0" applyAlignment="1" applyBorder="1" applyFont="1">
      <alignment horizontal="center"/>
    </xf>
    <xf borderId="12" fillId="3" fontId="1" numFmtId="0" xfId="0" applyAlignment="1" applyBorder="1" applyFont="1">
      <alignment horizontal="center"/>
    </xf>
    <xf borderId="9" fillId="3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</xdr:row>
      <xdr:rowOff>28575</xdr:rowOff>
    </xdr:from>
    <xdr:ext cx="64770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3" max="3" width="13.29"/>
    <col customWidth="1" min="4" max="4" width="23.29"/>
    <col customWidth="1" min="5" max="5" width="17.0"/>
    <col customWidth="1" min="6" max="25" width="10.71"/>
  </cols>
  <sheetData>
    <row r="1" ht="13.5" customHeight="1"/>
    <row r="2" ht="13.5" customHeight="1">
      <c r="A2" s="1"/>
      <c r="B2" s="2" t="s">
        <v>0</v>
      </c>
      <c r="C2" s="3"/>
      <c r="D2" s="4"/>
      <c r="E2" s="5"/>
    </row>
    <row r="3" ht="13.5" customHeight="1">
      <c r="A3" s="6"/>
      <c r="B3" s="6"/>
      <c r="D3" s="7"/>
      <c r="E3" s="8">
        <v>45437.0</v>
      </c>
    </row>
    <row r="4" ht="13.5" customHeight="1">
      <c r="A4" s="6"/>
      <c r="B4" s="6"/>
      <c r="D4" s="7"/>
      <c r="E4" s="7"/>
    </row>
    <row r="5" ht="13.5" customHeight="1">
      <c r="A5" s="9"/>
      <c r="B5" s="9"/>
      <c r="C5" s="10"/>
      <c r="D5" s="11"/>
      <c r="E5" s="12"/>
    </row>
    <row r="6" ht="13.5" customHeight="1">
      <c r="A6" s="13" t="s">
        <v>1</v>
      </c>
      <c r="B6" s="14"/>
      <c r="C6" s="10"/>
      <c r="D6" s="15" t="s">
        <v>2</v>
      </c>
    </row>
    <row r="7" ht="13.5" customHeight="1">
      <c r="A7" s="16" t="s">
        <v>3</v>
      </c>
      <c r="B7" s="17" t="s">
        <v>4</v>
      </c>
      <c r="C7" s="18"/>
      <c r="D7" s="18"/>
      <c r="E7" s="18"/>
    </row>
    <row r="8" ht="13.5" customHeight="1">
      <c r="A8" s="13" t="s">
        <v>5</v>
      </c>
      <c r="B8" s="19" t="s">
        <v>6</v>
      </c>
      <c r="C8" s="20"/>
      <c r="D8" s="20"/>
      <c r="E8" s="20"/>
    </row>
    <row r="9" ht="13.5" customHeight="1">
      <c r="A9" s="13" t="s">
        <v>7</v>
      </c>
      <c r="B9" s="19" t="s">
        <v>8</v>
      </c>
      <c r="C9" s="20"/>
      <c r="D9" s="20"/>
      <c r="E9" s="20"/>
    </row>
    <row r="10" ht="13.5" customHeight="1">
      <c r="A10" s="13" t="s">
        <v>9</v>
      </c>
      <c r="B10" s="19" t="s">
        <v>10</v>
      </c>
      <c r="C10" s="20"/>
      <c r="D10" s="20"/>
      <c r="E10" s="20"/>
    </row>
    <row r="11" ht="13.5" customHeight="1">
      <c r="A11" s="13" t="s">
        <v>11</v>
      </c>
      <c r="B11" s="19" t="s">
        <v>12</v>
      </c>
      <c r="C11" s="20"/>
      <c r="D11" s="20"/>
      <c r="E11" s="20"/>
    </row>
    <row r="12" ht="13.5" customHeight="1">
      <c r="A12" s="21" t="s">
        <v>13</v>
      </c>
      <c r="B12" s="22">
        <v>22319.0</v>
      </c>
      <c r="C12" s="23" t="s">
        <v>14</v>
      </c>
      <c r="D12" s="24" t="s">
        <v>15</v>
      </c>
      <c r="E12" s="25"/>
      <c r="F12" s="26" t="s">
        <v>16</v>
      </c>
      <c r="G12" s="25"/>
      <c r="H12" s="25"/>
      <c r="I12" s="25"/>
      <c r="J12" s="25"/>
      <c r="K12" s="27"/>
      <c r="L12" s="28"/>
      <c r="M12" s="28"/>
      <c r="N12" s="28"/>
      <c r="O12" s="28"/>
      <c r="P12" s="28"/>
      <c r="Q12" s="28"/>
    </row>
    <row r="13" ht="13.5" customHeight="1">
      <c r="A13" s="21" t="s">
        <v>17</v>
      </c>
      <c r="B13" s="29"/>
      <c r="C13" s="30"/>
      <c r="D13" s="31">
        <v>0.09</v>
      </c>
      <c r="E13" s="25"/>
      <c r="F13" s="32" t="s">
        <v>18</v>
      </c>
      <c r="G13" s="3"/>
      <c r="H13" s="3"/>
      <c r="I13" s="3"/>
      <c r="J13" s="3"/>
      <c r="K13" s="4"/>
      <c r="L13" s="28"/>
      <c r="M13" s="28"/>
      <c r="N13" s="28"/>
      <c r="O13" s="28"/>
      <c r="P13" s="28"/>
      <c r="Q13" s="28"/>
    </row>
    <row r="14" ht="13.5" customHeight="1">
      <c r="A14" s="33" t="s">
        <v>19</v>
      </c>
      <c r="B14" s="25"/>
      <c r="C14" s="27"/>
      <c r="D14" s="34">
        <f>'DATOS SKF SIN MONTAR'!E13/1000</f>
        <v>0.08</v>
      </c>
      <c r="E14" s="34">
        <f>'DATOS SKF SIN MONTAR'!F13/1000</f>
        <v>0.11</v>
      </c>
      <c r="F14" s="35" t="s">
        <v>20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ht="13.5" customHeight="1">
      <c r="A15" s="36" t="s">
        <v>21</v>
      </c>
      <c r="B15" s="25"/>
      <c r="C15" s="27"/>
      <c r="D15" s="34">
        <f>D14</f>
        <v>0.08</v>
      </c>
      <c r="E15" s="34">
        <f>'REDUCCION DEL JUEGO RESIDUAL'!E15</f>
        <v>0.05</v>
      </c>
      <c r="F15" s="37" t="s">
        <v>22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7"/>
    </row>
    <row r="16" ht="13.5" customHeight="1">
      <c r="A16" s="33" t="s">
        <v>23</v>
      </c>
      <c r="B16" s="25"/>
      <c r="C16" s="27"/>
      <c r="D16" s="34">
        <f>D13-D15</f>
        <v>0.01</v>
      </c>
      <c r="E16" s="34">
        <f>D13-E15</f>
        <v>0.04</v>
      </c>
      <c r="F16" s="26" t="s">
        <v>24</v>
      </c>
      <c r="G16" s="25"/>
      <c r="H16" s="25"/>
      <c r="I16" s="25"/>
      <c r="J16" s="25"/>
      <c r="K16" s="27"/>
      <c r="L16" s="28"/>
      <c r="M16" s="28"/>
      <c r="N16" s="28"/>
      <c r="O16" s="28"/>
      <c r="P16" s="28"/>
      <c r="Q16" s="28"/>
    </row>
    <row r="17" ht="13.5" customHeight="1">
      <c r="A17" s="38" t="s">
        <v>25</v>
      </c>
      <c r="B17" s="25"/>
      <c r="C17" s="27"/>
      <c r="D17" s="39">
        <v>0.04</v>
      </c>
      <c r="E17" s="27"/>
      <c r="F17" s="37" t="s">
        <v>26</v>
      </c>
      <c r="G17" s="25"/>
      <c r="H17" s="25"/>
      <c r="I17" s="25"/>
      <c r="J17" s="25"/>
      <c r="K17" s="25"/>
      <c r="L17" s="25"/>
      <c r="M17" s="25"/>
      <c r="N17" s="25"/>
      <c r="O17" s="27"/>
      <c r="P17" s="28"/>
      <c r="Q17" s="28"/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>
      <c r="B23" s="40" t="s">
        <v>27</v>
      </c>
    </row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</sheetData>
  <mergeCells count="17">
    <mergeCell ref="A2:A5"/>
    <mergeCell ref="B2:D5"/>
    <mergeCell ref="E3:E4"/>
    <mergeCell ref="B6:C6"/>
    <mergeCell ref="D12:E12"/>
    <mergeCell ref="F12:K12"/>
    <mergeCell ref="F13:K13"/>
    <mergeCell ref="A17:C17"/>
    <mergeCell ref="D17:E17"/>
    <mergeCell ref="F17:O17"/>
    <mergeCell ref="D13:E13"/>
    <mergeCell ref="A14:C14"/>
    <mergeCell ref="F14:Q14"/>
    <mergeCell ref="A15:C15"/>
    <mergeCell ref="F15:Q15"/>
    <mergeCell ref="A16:C16"/>
    <mergeCell ref="F16:K16"/>
  </mergeCells>
  <dataValidations>
    <dataValidation type="list" allowBlank="1" showErrorMessage="1" sqref="B7">
      <formula1>"Cilindrico,Cónico"</formula1>
    </dataValidation>
    <dataValidation type="list" allowBlank="1" showErrorMessage="1" sqref="D12">
      <formula1>"Lado Acople,Lado rodete,Rodamiento 3,Rodamiento 4,Rodamiento5,ROdamiento 6"</formula1>
    </dataValidation>
    <dataValidation type="list" allowBlank="1" showErrorMessage="1" sqref="C12">
      <formula1>"Juego Normal,C2,C3,C4,C5"</formula1>
    </dataValidation>
    <dataValidation type="list" allowBlank="1" showErrorMessage="1" sqref="A15">
      <formula1>"Reduccion de juego radial,Calado axial,Angulo de ajuste"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/>
    <row r="2" ht="13.5" customHeight="1">
      <c r="A2" s="41" t="s">
        <v>28</v>
      </c>
      <c r="B2" s="3"/>
      <c r="C2" s="3"/>
      <c r="D2" s="3"/>
      <c r="E2" s="3"/>
      <c r="F2" s="3"/>
      <c r="G2" s="4"/>
    </row>
    <row r="3" ht="13.5" customHeight="1">
      <c r="A3" s="9"/>
      <c r="B3" s="10"/>
      <c r="C3" s="10"/>
      <c r="D3" s="10"/>
      <c r="E3" s="10"/>
      <c r="F3" s="10"/>
      <c r="G3" s="11"/>
    </row>
    <row r="4" ht="13.5" customHeight="1"/>
    <row r="5" ht="13.5" customHeight="1">
      <c r="A5" s="42" t="s">
        <v>29</v>
      </c>
      <c r="B5" s="4"/>
      <c r="C5" s="43" t="s">
        <v>30</v>
      </c>
      <c r="D5" s="25"/>
      <c r="E5" s="25"/>
      <c r="F5" s="25"/>
      <c r="G5" s="25"/>
      <c r="H5" s="25"/>
      <c r="I5" s="25"/>
      <c r="J5" s="25"/>
      <c r="K5" s="25"/>
      <c r="L5" s="27"/>
    </row>
    <row r="6" ht="13.5" customHeight="1">
      <c r="A6" s="9"/>
      <c r="B6" s="11"/>
      <c r="C6" s="43" t="s">
        <v>14</v>
      </c>
      <c r="D6" s="27"/>
      <c r="E6" s="43" t="s">
        <v>31</v>
      </c>
      <c r="F6" s="27"/>
      <c r="G6" s="43" t="s">
        <v>32</v>
      </c>
      <c r="H6" s="27"/>
      <c r="I6" s="43" t="s">
        <v>33</v>
      </c>
      <c r="J6" s="27"/>
      <c r="K6" s="43" t="s">
        <v>34</v>
      </c>
      <c r="L6" s="27"/>
    </row>
    <row r="7" ht="13.5" customHeight="1">
      <c r="A7" s="44" t="s">
        <v>35</v>
      </c>
      <c r="B7" s="44" t="s">
        <v>36</v>
      </c>
      <c r="C7" s="45" t="s">
        <v>37</v>
      </c>
      <c r="D7" s="45" t="s">
        <v>38</v>
      </c>
      <c r="E7" s="45" t="s">
        <v>39</v>
      </c>
      <c r="F7" s="45" t="s">
        <v>38</v>
      </c>
      <c r="G7" s="45" t="s">
        <v>37</v>
      </c>
      <c r="H7" s="45" t="s">
        <v>38</v>
      </c>
      <c r="I7" s="45" t="s">
        <v>37</v>
      </c>
      <c r="J7" s="45" t="s">
        <v>38</v>
      </c>
      <c r="K7" s="45" t="s">
        <v>37</v>
      </c>
      <c r="L7" s="45" t="s">
        <v>38</v>
      </c>
    </row>
    <row r="8" ht="13.5" customHeight="1">
      <c r="A8" s="34">
        <v>24.0</v>
      </c>
      <c r="B8" s="46">
        <v>30.0</v>
      </c>
      <c r="C8" s="34">
        <v>20.0</v>
      </c>
      <c r="D8" s="34">
        <v>30.0</v>
      </c>
      <c r="E8" s="34">
        <v>30.0</v>
      </c>
      <c r="F8" s="34">
        <v>40.0</v>
      </c>
      <c r="G8" s="34">
        <v>40.0</v>
      </c>
      <c r="H8" s="34">
        <v>55.0</v>
      </c>
      <c r="I8" s="34">
        <v>55.0</v>
      </c>
      <c r="J8" s="34">
        <v>75.0</v>
      </c>
      <c r="K8" s="34" t="s">
        <v>40</v>
      </c>
      <c r="L8" s="34" t="s">
        <v>40</v>
      </c>
    </row>
    <row r="9" ht="13.5" customHeight="1">
      <c r="A9" s="34">
        <v>30.0</v>
      </c>
      <c r="B9" s="34">
        <v>40.0</v>
      </c>
      <c r="C9" s="34">
        <v>25.0</v>
      </c>
      <c r="D9" s="34">
        <v>35.0</v>
      </c>
      <c r="E9" s="34">
        <v>35.0</v>
      </c>
      <c r="F9" s="34">
        <v>50.0</v>
      </c>
      <c r="G9" s="34">
        <v>50.0</v>
      </c>
      <c r="H9" s="34">
        <v>65.0</v>
      </c>
      <c r="I9" s="34">
        <v>65.0</v>
      </c>
      <c r="J9" s="34">
        <v>85.0</v>
      </c>
      <c r="K9" s="34">
        <v>85.0</v>
      </c>
      <c r="L9" s="34">
        <v>105.0</v>
      </c>
    </row>
    <row r="10" ht="13.5" customHeight="1">
      <c r="A10" s="34">
        <v>40.0</v>
      </c>
      <c r="B10" s="34">
        <v>50.0</v>
      </c>
      <c r="C10" s="34">
        <v>30.0</v>
      </c>
      <c r="D10" s="34">
        <v>45.0</v>
      </c>
      <c r="E10" s="34">
        <v>45.0</v>
      </c>
      <c r="F10" s="34">
        <v>60.0</v>
      </c>
      <c r="G10" s="34">
        <v>60.0</v>
      </c>
      <c r="H10" s="34">
        <v>80.0</v>
      </c>
      <c r="I10" s="34">
        <v>80.0</v>
      </c>
      <c r="J10" s="34">
        <v>100.0</v>
      </c>
      <c r="K10" s="34">
        <v>100.0</v>
      </c>
      <c r="L10" s="34">
        <v>130.0</v>
      </c>
    </row>
    <row r="11" ht="13.5" customHeight="1">
      <c r="A11" s="34">
        <v>50.0</v>
      </c>
      <c r="B11" s="34">
        <v>65.0</v>
      </c>
      <c r="C11" s="34">
        <v>40.0</v>
      </c>
      <c r="D11" s="34">
        <v>55.0</v>
      </c>
      <c r="E11" s="34">
        <v>55.0</v>
      </c>
      <c r="F11" s="34">
        <v>75.0</v>
      </c>
      <c r="G11" s="34">
        <v>75.0</v>
      </c>
      <c r="H11" s="34">
        <v>95.0</v>
      </c>
      <c r="I11" s="34">
        <v>95.0</v>
      </c>
      <c r="J11" s="34">
        <v>120.0</v>
      </c>
      <c r="K11" s="34">
        <v>120.0</v>
      </c>
      <c r="L11" s="34">
        <v>160.0</v>
      </c>
    </row>
    <row r="12" ht="13.5" customHeight="1">
      <c r="A12" s="34">
        <v>65.0</v>
      </c>
      <c r="B12" s="34">
        <v>80.0</v>
      </c>
      <c r="C12" s="34">
        <v>50.0</v>
      </c>
      <c r="D12" s="34">
        <v>70.0</v>
      </c>
      <c r="E12" s="34">
        <v>70.0</v>
      </c>
      <c r="F12" s="34">
        <v>95.0</v>
      </c>
      <c r="G12" s="34">
        <v>95.0</v>
      </c>
      <c r="H12" s="34">
        <v>120.0</v>
      </c>
      <c r="I12" s="34">
        <v>120.0</v>
      </c>
      <c r="J12" s="34">
        <v>150.0</v>
      </c>
      <c r="K12" s="34">
        <v>150.0</v>
      </c>
      <c r="L12" s="34">
        <v>200.0</v>
      </c>
    </row>
    <row r="13" ht="13.5" customHeight="1">
      <c r="A13" s="34">
        <v>80.0</v>
      </c>
      <c r="B13" s="34">
        <v>100.0</v>
      </c>
      <c r="C13" s="34">
        <v>55.0</v>
      </c>
      <c r="D13" s="34">
        <v>80.0</v>
      </c>
      <c r="E13" s="34">
        <v>80.0</v>
      </c>
      <c r="F13" s="34">
        <v>110.0</v>
      </c>
      <c r="G13" s="34">
        <v>110.0</v>
      </c>
      <c r="H13" s="34">
        <v>140.0</v>
      </c>
      <c r="I13" s="34">
        <v>140.0</v>
      </c>
      <c r="J13" s="34">
        <v>180.0</v>
      </c>
      <c r="K13" s="34">
        <v>180.0</v>
      </c>
      <c r="L13" s="34">
        <v>230.0</v>
      </c>
    </row>
    <row r="14" ht="13.5" customHeight="1">
      <c r="A14" s="34">
        <v>100.0</v>
      </c>
      <c r="B14" s="34">
        <v>120.0</v>
      </c>
      <c r="C14" s="34">
        <v>65.0</v>
      </c>
      <c r="D14" s="34">
        <v>100.0</v>
      </c>
      <c r="E14" s="34">
        <v>100.0</v>
      </c>
      <c r="F14" s="34">
        <v>135.0</v>
      </c>
      <c r="G14" s="34">
        <v>135.0</v>
      </c>
      <c r="H14" s="34">
        <v>170.0</v>
      </c>
      <c r="I14" s="34">
        <v>170.0</v>
      </c>
      <c r="J14" s="34">
        <v>220.0</v>
      </c>
      <c r="K14" s="34">
        <v>220.0</v>
      </c>
      <c r="L14" s="34">
        <v>280.0</v>
      </c>
    </row>
    <row r="15" ht="13.5" customHeight="1">
      <c r="A15" s="34">
        <v>120.0</v>
      </c>
      <c r="B15" s="34">
        <v>140.0</v>
      </c>
      <c r="C15" s="34">
        <v>80.0</v>
      </c>
      <c r="D15" s="34">
        <v>120.0</v>
      </c>
      <c r="E15" s="34">
        <v>120.0</v>
      </c>
      <c r="F15" s="34">
        <v>160.0</v>
      </c>
      <c r="G15" s="34">
        <v>160.0</v>
      </c>
      <c r="H15" s="34">
        <v>200.0</v>
      </c>
      <c r="I15" s="34">
        <v>200.0</v>
      </c>
      <c r="J15" s="34">
        <v>260.0</v>
      </c>
      <c r="K15" s="34">
        <v>260.0</v>
      </c>
      <c r="L15" s="34">
        <v>330.0</v>
      </c>
    </row>
    <row r="16" ht="13.5" customHeight="1">
      <c r="A16" s="34">
        <v>140.0</v>
      </c>
      <c r="B16" s="34">
        <v>160.0</v>
      </c>
      <c r="C16" s="34">
        <v>90.0</v>
      </c>
      <c r="D16" s="34">
        <v>130.0</v>
      </c>
      <c r="E16" s="34">
        <v>130.0</v>
      </c>
      <c r="F16" s="34">
        <v>180.0</v>
      </c>
      <c r="G16" s="34">
        <v>180.0</v>
      </c>
      <c r="H16" s="34">
        <v>230.0</v>
      </c>
      <c r="I16" s="34">
        <v>230.0</v>
      </c>
      <c r="J16" s="34">
        <v>300.0</v>
      </c>
      <c r="K16" s="34">
        <v>300.0</v>
      </c>
      <c r="L16" s="34">
        <v>380.0</v>
      </c>
    </row>
    <row r="17" ht="13.5" customHeight="1">
      <c r="A17" s="34">
        <v>160.0</v>
      </c>
      <c r="B17" s="34">
        <v>180.0</v>
      </c>
      <c r="C17" s="34">
        <v>100.0</v>
      </c>
      <c r="D17" s="34">
        <v>140.0</v>
      </c>
      <c r="E17" s="34">
        <v>140.0</v>
      </c>
      <c r="F17" s="34">
        <v>200.0</v>
      </c>
      <c r="G17" s="34">
        <v>200.0</v>
      </c>
      <c r="H17" s="34">
        <v>260.0</v>
      </c>
      <c r="I17" s="34">
        <v>260.0</v>
      </c>
      <c r="J17" s="34">
        <v>340.0</v>
      </c>
      <c r="K17" s="34">
        <v>340.0</v>
      </c>
      <c r="L17" s="34">
        <v>430.0</v>
      </c>
    </row>
    <row r="18" ht="13.5" customHeight="1">
      <c r="A18" s="34">
        <v>180.0</v>
      </c>
      <c r="B18" s="34">
        <v>200.0</v>
      </c>
      <c r="C18" s="34">
        <v>110.0</v>
      </c>
      <c r="D18" s="34">
        <v>160.0</v>
      </c>
      <c r="E18" s="34">
        <v>160.0</v>
      </c>
      <c r="F18" s="34">
        <v>220.0</v>
      </c>
      <c r="G18" s="34">
        <v>220.0</v>
      </c>
      <c r="H18" s="34">
        <v>290.0</v>
      </c>
      <c r="I18" s="34">
        <v>290.0</v>
      </c>
      <c r="J18" s="34">
        <v>370.0</v>
      </c>
      <c r="K18" s="34">
        <v>370.0</v>
      </c>
      <c r="L18" s="34">
        <v>470.0</v>
      </c>
    </row>
    <row r="19" ht="13.5" customHeight="1">
      <c r="A19" s="34">
        <v>200.0</v>
      </c>
      <c r="B19" s="34">
        <v>225.0</v>
      </c>
      <c r="C19" s="34">
        <v>120.0</v>
      </c>
      <c r="D19" s="34">
        <v>180.0</v>
      </c>
      <c r="E19" s="34">
        <v>180.0</v>
      </c>
      <c r="F19" s="34">
        <v>250.0</v>
      </c>
      <c r="G19" s="34">
        <v>250.0</v>
      </c>
      <c r="H19" s="34">
        <v>320.0</v>
      </c>
      <c r="I19" s="34">
        <v>320.0</v>
      </c>
      <c r="J19" s="34">
        <v>410.0</v>
      </c>
      <c r="K19" s="34">
        <v>410.0</v>
      </c>
      <c r="L19" s="34">
        <v>520.0</v>
      </c>
    </row>
    <row r="20" ht="13.5" customHeight="1">
      <c r="A20" s="34">
        <v>225.0</v>
      </c>
      <c r="B20" s="34">
        <v>250.0</v>
      </c>
      <c r="C20" s="34">
        <v>140.0</v>
      </c>
      <c r="D20" s="34">
        <v>200.0</v>
      </c>
      <c r="E20" s="34">
        <v>200.0</v>
      </c>
      <c r="F20" s="34">
        <v>270.0</v>
      </c>
      <c r="G20" s="34">
        <v>270.0</v>
      </c>
      <c r="H20" s="34">
        <v>350.0</v>
      </c>
      <c r="I20" s="34">
        <v>350.0</v>
      </c>
      <c r="J20" s="34">
        <v>450.0</v>
      </c>
      <c r="K20" s="34">
        <v>450.0</v>
      </c>
      <c r="L20" s="34">
        <v>570.0</v>
      </c>
    </row>
    <row r="21" ht="13.5" customHeight="1">
      <c r="A21" s="34">
        <v>250.0</v>
      </c>
      <c r="B21" s="34">
        <v>250.0</v>
      </c>
      <c r="C21" s="34">
        <v>280.0</v>
      </c>
      <c r="D21" s="34">
        <v>150.0</v>
      </c>
      <c r="E21" s="34">
        <v>220.0</v>
      </c>
      <c r="F21" s="34">
        <v>220.0</v>
      </c>
      <c r="G21" s="34">
        <v>300.0</v>
      </c>
      <c r="H21" s="34">
        <v>300.0</v>
      </c>
      <c r="I21" s="34">
        <v>390.0</v>
      </c>
      <c r="J21" s="34">
        <v>390.0</v>
      </c>
      <c r="K21" s="34">
        <v>490.0</v>
      </c>
      <c r="L21" s="34">
        <v>620.0</v>
      </c>
    </row>
    <row r="22" ht="13.5" customHeight="1">
      <c r="A22" s="34">
        <v>280.0</v>
      </c>
      <c r="B22" s="34">
        <v>315.0</v>
      </c>
      <c r="C22" s="34">
        <v>170.0</v>
      </c>
      <c r="D22" s="34">
        <v>240.0</v>
      </c>
      <c r="E22" s="34">
        <v>240.0</v>
      </c>
      <c r="F22" s="34">
        <v>330.0</v>
      </c>
      <c r="G22" s="34">
        <v>330.0</v>
      </c>
      <c r="H22" s="34">
        <v>430.0</v>
      </c>
      <c r="I22" s="34">
        <v>430.0</v>
      </c>
      <c r="J22" s="34">
        <v>540.0</v>
      </c>
      <c r="K22" s="34">
        <v>540.0</v>
      </c>
      <c r="L22" s="34">
        <v>680.0</v>
      </c>
    </row>
    <row r="23" ht="13.5" customHeight="1">
      <c r="A23" s="34">
        <v>315.0</v>
      </c>
      <c r="B23" s="34">
        <v>355.0</v>
      </c>
      <c r="C23" s="34">
        <v>190.0</v>
      </c>
      <c r="D23" s="34">
        <v>270.0</v>
      </c>
      <c r="E23" s="34">
        <v>270.0</v>
      </c>
      <c r="F23" s="34">
        <v>360.0</v>
      </c>
      <c r="G23" s="34">
        <v>360.0</v>
      </c>
      <c r="H23" s="34">
        <v>470.0</v>
      </c>
      <c r="I23" s="34">
        <v>470.0</v>
      </c>
      <c r="J23" s="34">
        <v>590.0</v>
      </c>
      <c r="K23" s="34">
        <v>590.0</v>
      </c>
      <c r="L23" s="34">
        <v>740.0</v>
      </c>
    </row>
    <row r="24" ht="13.5" customHeight="1">
      <c r="A24" s="34">
        <v>355.0</v>
      </c>
      <c r="B24" s="34">
        <v>400.0</v>
      </c>
      <c r="C24" s="34">
        <v>210.0</v>
      </c>
      <c r="D24" s="34">
        <v>300.0</v>
      </c>
      <c r="E24" s="34">
        <v>300.0</v>
      </c>
      <c r="F24" s="34">
        <v>400.0</v>
      </c>
      <c r="G24" s="34">
        <v>400.0</v>
      </c>
      <c r="H24" s="34">
        <v>520.0</v>
      </c>
      <c r="I24" s="34">
        <v>520.0</v>
      </c>
      <c r="J24" s="34">
        <v>650.0</v>
      </c>
      <c r="K24" s="34">
        <v>650.0</v>
      </c>
      <c r="L24" s="34">
        <v>820.0</v>
      </c>
    </row>
    <row r="25" ht="13.5" customHeight="1">
      <c r="A25" s="34">
        <v>400.0</v>
      </c>
      <c r="B25" s="34">
        <v>450.0</v>
      </c>
      <c r="C25" s="34">
        <v>230.0</v>
      </c>
      <c r="D25" s="34">
        <v>330.0</v>
      </c>
      <c r="E25" s="34">
        <v>330.0</v>
      </c>
      <c r="F25" s="34">
        <v>440.0</v>
      </c>
      <c r="G25" s="34">
        <v>440.0</v>
      </c>
      <c r="H25" s="34">
        <v>570.0</v>
      </c>
      <c r="I25" s="34">
        <v>570.0</v>
      </c>
      <c r="J25" s="34">
        <v>720.0</v>
      </c>
      <c r="K25" s="34">
        <v>720.0</v>
      </c>
      <c r="L25" s="34">
        <v>910.0</v>
      </c>
    </row>
    <row r="26" ht="13.5" customHeight="1">
      <c r="A26" s="34">
        <v>450.0</v>
      </c>
      <c r="B26" s="34">
        <v>500.0</v>
      </c>
      <c r="C26" s="34">
        <v>260.0</v>
      </c>
      <c r="D26" s="34">
        <v>370.0</v>
      </c>
      <c r="E26" s="34">
        <v>370.0</v>
      </c>
      <c r="F26" s="34">
        <v>490.0</v>
      </c>
      <c r="G26" s="34">
        <v>490.0</v>
      </c>
      <c r="H26" s="34">
        <v>630.0</v>
      </c>
      <c r="I26" s="34">
        <v>630.0</v>
      </c>
      <c r="J26" s="34">
        <v>790.0</v>
      </c>
      <c r="K26" s="34">
        <v>790.0</v>
      </c>
      <c r="L26" s="34">
        <v>1000.0</v>
      </c>
    </row>
    <row r="27" ht="13.5" customHeight="1">
      <c r="A27" s="34">
        <v>500.0</v>
      </c>
      <c r="B27" s="34">
        <v>560.0</v>
      </c>
      <c r="C27" s="34">
        <v>290.0</v>
      </c>
      <c r="D27" s="34">
        <v>410.0</v>
      </c>
      <c r="E27" s="34">
        <v>410.0</v>
      </c>
      <c r="F27" s="34">
        <v>540.0</v>
      </c>
      <c r="G27" s="34">
        <v>540.0</v>
      </c>
      <c r="H27" s="34">
        <v>680.0</v>
      </c>
      <c r="I27" s="34">
        <v>680.0</v>
      </c>
      <c r="J27" s="34">
        <v>870.0</v>
      </c>
      <c r="K27" s="34">
        <v>870.0</v>
      </c>
      <c r="L27" s="34">
        <v>1100.0</v>
      </c>
    </row>
    <row r="28" ht="13.5" customHeight="1">
      <c r="A28" s="34">
        <v>560.0</v>
      </c>
      <c r="B28" s="34">
        <v>630.0</v>
      </c>
      <c r="C28" s="34">
        <v>320.0</v>
      </c>
      <c r="D28" s="34">
        <v>460.0</v>
      </c>
      <c r="E28" s="34">
        <v>460.0</v>
      </c>
      <c r="F28" s="34">
        <v>600.0</v>
      </c>
      <c r="G28" s="34">
        <v>600.0</v>
      </c>
      <c r="H28" s="34">
        <v>760.0</v>
      </c>
      <c r="I28" s="34">
        <v>760.0</v>
      </c>
      <c r="J28" s="34">
        <v>980.0</v>
      </c>
      <c r="K28" s="34">
        <v>980.0</v>
      </c>
      <c r="L28" s="34">
        <v>1230.0</v>
      </c>
    </row>
    <row r="29" ht="13.5" customHeight="1">
      <c r="A29" s="34">
        <v>630.0</v>
      </c>
      <c r="B29" s="34">
        <v>710.0</v>
      </c>
      <c r="C29" s="34">
        <v>350.0</v>
      </c>
      <c r="D29" s="34">
        <v>510.0</v>
      </c>
      <c r="E29" s="34">
        <v>510.0</v>
      </c>
      <c r="F29" s="34">
        <v>670.0</v>
      </c>
      <c r="G29" s="34">
        <v>670.0</v>
      </c>
      <c r="H29" s="34">
        <v>850.0</v>
      </c>
      <c r="I29" s="34">
        <v>850.0</v>
      </c>
      <c r="J29" s="34">
        <v>1090.0</v>
      </c>
      <c r="K29" s="34">
        <v>1090.0</v>
      </c>
      <c r="L29" s="34">
        <v>1360.0</v>
      </c>
    </row>
    <row r="30" ht="13.5" customHeight="1">
      <c r="A30" s="34">
        <v>710.0</v>
      </c>
      <c r="B30" s="34">
        <v>800.0</v>
      </c>
      <c r="C30" s="34">
        <v>390.0</v>
      </c>
      <c r="D30" s="34">
        <v>570.0</v>
      </c>
      <c r="E30" s="34">
        <v>570.0</v>
      </c>
      <c r="F30" s="34">
        <v>750.0</v>
      </c>
      <c r="G30" s="34">
        <v>750.0</v>
      </c>
      <c r="H30" s="34">
        <v>960.0</v>
      </c>
      <c r="I30" s="34">
        <v>960.0</v>
      </c>
      <c r="J30" s="34">
        <v>1220.0</v>
      </c>
      <c r="K30" s="34">
        <v>1220.0</v>
      </c>
      <c r="L30" s="34">
        <v>1500.0</v>
      </c>
    </row>
    <row r="31" ht="13.5" customHeight="1">
      <c r="A31" s="34">
        <v>800.0</v>
      </c>
      <c r="B31" s="34">
        <v>900.0</v>
      </c>
      <c r="C31" s="34">
        <v>440.0</v>
      </c>
      <c r="D31" s="34">
        <v>640.0</v>
      </c>
      <c r="E31" s="34">
        <v>640.0</v>
      </c>
      <c r="F31" s="34">
        <v>840.0</v>
      </c>
      <c r="G31" s="34">
        <v>840.0</v>
      </c>
      <c r="H31" s="34">
        <v>1070.0</v>
      </c>
      <c r="I31" s="34">
        <v>1070.0</v>
      </c>
      <c r="J31" s="34">
        <v>1370.0</v>
      </c>
      <c r="K31" s="34">
        <v>1370.0</v>
      </c>
      <c r="L31" s="34">
        <v>1690.0</v>
      </c>
    </row>
    <row r="32" ht="13.5" customHeight="1">
      <c r="A32" s="34">
        <v>900.0</v>
      </c>
      <c r="B32" s="34">
        <v>1000.0</v>
      </c>
      <c r="C32" s="34">
        <v>490.0</v>
      </c>
      <c r="D32" s="34">
        <v>710.0</v>
      </c>
      <c r="E32" s="34">
        <v>710.0</v>
      </c>
      <c r="F32" s="34">
        <v>930.0</v>
      </c>
      <c r="G32" s="34">
        <v>930.0</v>
      </c>
      <c r="H32" s="34">
        <v>1190.0</v>
      </c>
      <c r="I32" s="34">
        <v>1190.0</v>
      </c>
      <c r="J32" s="34">
        <v>1520.0</v>
      </c>
      <c r="K32" s="34">
        <v>1520.0</v>
      </c>
      <c r="L32" s="34">
        <v>1860.0</v>
      </c>
    </row>
    <row r="33" ht="13.5" customHeight="1">
      <c r="A33" s="34">
        <v>1000.0</v>
      </c>
      <c r="B33" s="34">
        <v>1120.0</v>
      </c>
      <c r="C33" s="34">
        <v>530.0</v>
      </c>
      <c r="D33" s="34">
        <v>770.0</v>
      </c>
      <c r="E33" s="34">
        <v>770.0</v>
      </c>
      <c r="F33" s="34">
        <v>1030.0</v>
      </c>
      <c r="G33" s="34">
        <v>1030.0</v>
      </c>
      <c r="H33" s="34">
        <v>1300.0</v>
      </c>
      <c r="I33" s="34">
        <v>1300.0</v>
      </c>
      <c r="J33" s="34">
        <v>1670.0</v>
      </c>
      <c r="K33" s="34">
        <v>1670.0</v>
      </c>
      <c r="L33" s="34">
        <v>2050.0</v>
      </c>
    </row>
    <row r="34" ht="13.5" customHeight="1">
      <c r="A34" s="34">
        <v>1120.0</v>
      </c>
      <c r="B34" s="34">
        <v>1250.0</v>
      </c>
      <c r="C34" s="34">
        <v>570.0</v>
      </c>
      <c r="D34" s="34">
        <v>830.0</v>
      </c>
      <c r="E34" s="34">
        <v>830.0</v>
      </c>
      <c r="F34" s="34">
        <v>1120.0</v>
      </c>
      <c r="G34" s="34">
        <v>1120.0</v>
      </c>
      <c r="H34" s="34">
        <v>1420.0</v>
      </c>
      <c r="I34" s="34">
        <v>1420.0</v>
      </c>
      <c r="J34" s="34">
        <v>1830.0</v>
      </c>
      <c r="K34" s="34">
        <v>1830.0</v>
      </c>
      <c r="L34" s="34">
        <v>2250.0</v>
      </c>
    </row>
    <row r="35" ht="13.5" customHeight="1">
      <c r="A35" s="34">
        <v>1250.0</v>
      </c>
      <c r="B35" s="34">
        <v>1400.0</v>
      </c>
      <c r="C35" s="34">
        <v>620.0</v>
      </c>
      <c r="D35" s="34">
        <v>910.0</v>
      </c>
      <c r="E35" s="34">
        <v>910.0</v>
      </c>
      <c r="F35" s="34">
        <v>1230.0</v>
      </c>
      <c r="G35" s="34">
        <v>1230.0</v>
      </c>
      <c r="H35" s="34">
        <v>1560.0</v>
      </c>
      <c r="I35" s="34">
        <v>1560.0</v>
      </c>
      <c r="J35" s="34">
        <v>2000.0</v>
      </c>
      <c r="K35" s="34">
        <v>2000.0</v>
      </c>
      <c r="L35" s="34">
        <v>2450.0</v>
      </c>
    </row>
    <row r="36" ht="13.5" customHeight="1">
      <c r="A36" s="34">
        <v>1400.0</v>
      </c>
      <c r="B36" s="34">
        <v>1600.0</v>
      </c>
      <c r="C36" s="34">
        <v>680.0</v>
      </c>
      <c r="D36" s="34">
        <v>1000.0</v>
      </c>
      <c r="E36" s="34">
        <v>1000.0</v>
      </c>
      <c r="F36" s="34">
        <v>1350.0</v>
      </c>
      <c r="G36" s="34">
        <v>1350.0</v>
      </c>
      <c r="H36" s="34">
        <v>1720.0</v>
      </c>
      <c r="I36" s="34">
        <v>1720.0</v>
      </c>
      <c r="J36" s="34">
        <v>2200.0</v>
      </c>
      <c r="K36" s="34">
        <v>2200.0</v>
      </c>
      <c r="L36" s="34">
        <v>2700.0</v>
      </c>
    </row>
    <row r="37" ht="13.5" customHeight="1">
      <c r="A37" s="34">
        <v>1600.0</v>
      </c>
      <c r="B37" s="34">
        <v>1800.0</v>
      </c>
      <c r="C37" s="34">
        <v>750.0</v>
      </c>
      <c r="D37" s="34">
        <v>1110.0</v>
      </c>
      <c r="E37" s="34">
        <v>1110.0</v>
      </c>
      <c r="F37" s="34">
        <v>1500.0</v>
      </c>
      <c r="G37" s="34">
        <v>1500.0</v>
      </c>
      <c r="H37" s="34">
        <v>1920.0</v>
      </c>
      <c r="I37" s="34">
        <v>1920.0</v>
      </c>
      <c r="J37" s="34">
        <v>2400.0</v>
      </c>
      <c r="K37" s="34">
        <v>2400.0</v>
      </c>
      <c r="L37" s="34">
        <v>2950.0</v>
      </c>
    </row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8">
    <mergeCell ref="A2:G3"/>
    <mergeCell ref="A5:B6"/>
    <mergeCell ref="C5:L5"/>
    <mergeCell ref="C6:D6"/>
    <mergeCell ref="E6:F6"/>
    <mergeCell ref="G6:H6"/>
    <mergeCell ref="I6:J6"/>
    <mergeCell ref="K6:L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/>
    <row r="2" ht="13.5" customHeight="1"/>
    <row r="3" ht="13.5" customHeight="1">
      <c r="A3" s="41" t="s">
        <v>41</v>
      </c>
      <c r="B3" s="3"/>
      <c r="C3" s="3"/>
      <c r="D3" s="3"/>
      <c r="E3" s="3"/>
      <c r="F3" s="3"/>
      <c r="G3" s="4"/>
    </row>
    <row r="4" ht="13.5" customHeight="1">
      <c r="A4" s="9"/>
      <c r="B4" s="10"/>
      <c r="C4" s="10"/>
      <c r="D4" s="10"/>
      <c r="E4" s="10"/>
      <c r="F4" s="10"/>
      <c r="G4" s="11"/>
    </row>
    <row r="5" ht="13.5" customHeight="1"/>
    <row r="6" ht="13.5" customHeight="1"/>
    <row r="7" ht="13.5" customHeight="1">
      <c r="A7" s="42" t="s">
        <v>29</v>
      </c>
      <c r="B7" s="4"/>
      <c r="C7" s="42" t="s">
        <v>42</v>
      </c>
      <c r="D7" s="3"/>
      <c r="E7" s="3"/>
      <c r="F7" s="4"/>
      <c r="G7" s="43" t="s">
        <v>43</v>
      </c>
      <c r="H7" s="25"/>
      <c r="I7" s="25"/>
      <c r="J7" s="27"/>
      <c r="K7" s="43" t="s">
        <v>44</v>
      </c>
      <c r="L7" s="27"/>
    </row>
    <row r="8" ht="13.5" customHeight="1">
      <c r="A8" s="9"/>
      <c r="B8" s="11"/>
      <c r="C8" s="9"/>
      <c r="D8" s="10"/>
      <c r="E8" s="10"/>
      <c r="F8" s="11"/>
      <c r="G8" s="43" t="s">
        <v>45</v>
      </c>
      <c r="H8" s="27"/>
      <c r="I8" s="43" t="s">
        <v>46</v>
      </c>
      <c r="J8" s="27"/>
      <c r="K8" s="42" t="s">
        <v>47</v>
      </c>
      <c r="L8" s="4"/>
    </row>
    <row r="9" ht="13.5" customHeight="1">
      <c r="A9" s="47" t="s">
        <v>35</v>
      </c>
      <c r="B9" s="47" t="s">
        <v>36</v>
      </c>
      <c r="C9" s="48" t="s">
        <v>37</v>
      </c>
      <c r="D9" s="27"/>
      <c r="E9" s="48" t="s">
        <v>38</v>
      </c>
      <c r="F9" s="27"/>
      <c r="G9" s="49" t="s">
        <v>37</v>
      </c>
      <c r="H9" s="49" t="s">
        <v>38</v>
      </c>
      <c r="I9" s="49" t="s">
        <v>37</v>
      </c>
      <c r="J9" s="49" t="s">
        <v>38</v>
      </c>
      <c r="K9" s="9"/>
      <c r="L9" s="11"/>
    </row>
    <row r="10" ht="13.5" customHeight="1">
      <c r="A10" s="34">
        <v>24.0</v>
      </c>
      <c r="B10" s="46">
        <v>30.0</v>
      </c>
      <c r="C10" s="50">
        <v>0.01</v>
      </c>
      <c r="D10" s="27"/>
      <c r="E10" s="50">
        <v>0.015</v>
      </c>
      <c r="F10" s="27"/>
      <c r="G10" s="34">
        <v>0.25</v>
      </c>
      <c r="H10" s="34">
        <v>0.29</v>
      </c>
      <c r="I10" s="34" t="s">
        <v>40</v>
      </c>
      <c r="J10" s="34" t="s">
        <v>40</v>
      </c>
      <c r="K10" s="50">
        <v>100.0</v>
      </c>
      <c r="L10" s="27"/>
    </row>
    <row r="11" ht="13.5" customHeight="1">
      <c r="A11" s="34">
        <v>30.0</v>
      </c>
      <c r="B11" s="34">
        <v>40.0</v>
      </c>
      <c r="C11" s="50">
        <v>0.015</v>
      </c>
      <c r="D11" s="27"/>
      <c r="E11" s="50">
        <v>0.02</v>
      </c>
      <c r="F11" s="27"/>
      <c r="G11" s="34">
        <v>0.3</v>
      </c>
      <c r="H11" s="34">
        <v>0.35</v>
      </c>
      <c r="I11" s="34" t="s">
        <v>40</v>
      </c>
      <c r="J11" s="34" t="s">
        <v>40</v>
      </c>
      <c r="K11" s="50">
        <v>115.0</v>
      </c>
      <c r="L11" s="27"/>
    </row>
    <row r="12" ht="13.5" customHeight="1">
      <c r="A12" s="34">
        <v>40.0</v>
      </c>
      <c r="B12" s="34">
        <v>50.0</v>
      </c>
      <c r="C12" s="50">
        <v>0.02</v>
      </c>
      <c r="D12" s="27"/>
      <c r="E12" s="50">
        <v>0.025</v>
      </c>
      <c r="F12" s="27"/>
      <c r="G12" s="34">
        <v>0.37</v>
      </c>
      <c r="H12" s="34">
        <v>0.44</v>
      </c>
      <c r="I12" s="34" t="s">
        <v>40</v>
      </c>
      <c r="J12" s="34" t="s">
        <v>40</v>
      </c>
      <c r="K12" s="50">
        <v>130.0</v>
      </c>
      <c r="L12" s="27"/>
    </row>
    <row r="13" ht="13.5" customHeight="1">
      <c r="A13" s="34">
        <v>50.0</v>
      </c>
      <c r="B13" s="34">
        <v>65.0</v>
      </c>
      <c r="C13" s="50">
        <v>0.025</v>
      </c>
      <c r="D13" s="27"/>
      <c r="E13" s="50">
        <v>0.035</v>
      </c>
      <c r="F13" s="27"/>
      <c r="G13" s="34">
        <v>0.45</v>
      </c>
      <c r="H13" s="34">
        <v>0.54</v>
      </c>
      <c r="I13" s="34">
        <v>1.15</v>
      </c>
      <c r="J13" s="34">
        <v>1.35</v>
      </c>
      <c r="K13" s="50">
        <v>115.0</v>
      </c>
      <c r="L13" s="27"/>
    </row>
    <row r="14" ht="13.5" customHeight="1">
      <c r="A14" s="34">
        <v>65.0</v>
      </c>
      <c r="B14" s="34">
        <v>80.0</v>
      </c>
      <c r="C14" s="50">
        <v>0.035</v>
      </c>
      <c r="D14" s="27"/>
      <c r="E14" s="50">
        <v>0.04</v>
      </c>
      <c r="F14" s="27"/>
      <c r="G14" s="34">
        <v>0.55</v>
      </c>
      <c r="H14" s="34">
        <v>0.65</v>
      </c>
      <c r="I14" s="34">
        <v>1.4</v>
      </c>
      <c r="J14" s="34">
        <v>1.65</v>
      </c>
      <c r="K14" s="50">
        <v>130.0</v>
      </c>
      <c r="L14" s="27"/>
    </row>
    <row r="15" ht="13.5" customHeight="1">
      <c r="A15" s="34">
        <v>80.0</v>
      </c>
      <c r="B15" s="34">
        <v>100.0</v>
      </c>
      <c r="C15" s="50">
        <v>0.04</v>
      </c>
      <c r="D15" s="27"/>
      <c r="E15" s="50">
        <v>0.05</v>
      </c>
      <c r="F15" s="27"/>
      <c r="G15" s="34">
        <v>0.66</v>
      </c>
      <c r="H15" s="34">
        <v>0.79</v>
      </c>
      <c r="I15" s="34">
        <v>1.65</v>
      </c>
      <c r="J15" s="34">
        <v>2.0</v>
      </c>
      <c r="K15" s="50">
        <v>150.0</v>
      </c>
      <c r="L15" s="27"/>
    </row>
    <row r="16" ht="13.5" customHeight="1">
      <c r="A16" s="34">
        <v>100.0</v>
      </c>
      <c r="B16" s="34">
        <v>120.0</v>
      </c>
      <c r="C16" s="50">
        <v>0.05</v>
      </c>
      <c r="D16" s="27"/>
      <c r="E16" s="50">
        <v>0.06</v>
      </c>
      <c r="F16" s="27"/>
      <c r="G16" s="34">
        <v>0.79</v>
      </c>
      <c r="H16" s="34">
        <v>0.95</v>
      </c>
      <c r="I16" s="34">
        <v>2.0</v>
      </c>
      <c r="J16" s="34">
        <v>2.35</v>
      </c>
      <c r="K16" s="51"/>
      <c r="L16" s="51"/>
    </row>
    <row r="17" ht="13.5" customHeight="1">
      <c r="A17" s="34">
        <v>120.0</v>
      </c>
      <c r="B17" s="34">
        <v>140.0</v>
      </c>
      <c r="C17" s="50">
        <v>0.06</v>
      </c>
      <c r="D17" s="27"/>
      <c r="E17" s="50">
        <v>0.075</v>
      </c>
      <c r="F17" s="27"/>
      <c r="G17" s="34">
        <v>0.93</v>
      </c>
      <c r="H17" s="34">
        <v>1.1</v>
      </c>
      <c r="I17" s="34">
        <v>2.3</v>
      </c>
      <c r="J17" s="34">
        <v>2.8</v>
      </c>
      <c r="K17" s="51"/>
      <c r="L17" s="51"/>
    </row>
    <row r="18" ht="13.5" customHeight="1">
      <c r="A18" s="34">
        <v>140.0</v>
      </c>
      <c r="B18" s="34">
        <v>160.0</v>
      </c>
      <c r="C18" s="50">
        <v>0.07</v>
      </c>
      <c r="D18" s="27"/>
      <c r="E18" s="50">
        <v>0.085</v>
      </c>
      <c r="F18" s="27"/>
      <c r="G18" s="34">
        <v>1.05</v>
      </c>
      <c r="H18" s="34">
        <v>1.3</v>
      </c>
      <c r="I18" s="34">
        <v>2.65</v>
      </c>
      <c r="J18" s="34">
        <v>3.2</v>
      </c>
      <c r="K18" s="51"/>
      <c r="L18" s="51"/>
    </row>
    <row r="19" ht="13.5" customHeight="1">
      <c r="A19" s="34">
        <v>160.0</v>
      </c>
      <c r="B19" s="34">
        <v>180.0</v>
      </c>
      <c r="C19" s="50">
        <v>0.08</v>
      </c>
      <c r="D19" s="27"/>
      <c r="E19" s="50">
        <v>0.095</v>
      </c>
      <c r="F19" s="27"/>
      <c r="G19" s="34">
        <v>1.2</v>
      </c>
      <c r="H19" s="34">
        <v>1.45</v>
      </c>
      <c r="I19" s="34">
        <v>3.0</v>
      </c>
      <c r="J19" s="34">
        <v>3.6</v>
      </c>
      <c r="K19" s="51"/>
      <c r="L19" s="51"/>
    </row>
    <row r="20" ht="13.5" customHeight="1">
      <c r="A20" s="34">
        <v>180.0</v>
      </c>
      <c r="B20" s="34">
        <v>200.0</v>
      </c>
      <c r="C20" s="50">
        <v>0.09</v>
      </c>
      <c r="D20" s="27"/>
      <c r="E20" s="50">
        <v>0.105</v>
      </c>
      <c r="F20" s="27"/>
      <c r="G20" s="34">
        <v>1.3</v>
      </c>
      <c r="H20" s="34">
        <v>1.6</v>
      </c>
      <c r="I20" s="34">
        <v>3.3</v>
      </c>
      <c r="J20" s="34">
        <v>4.0</v>
      </c>
      <c r="K20" s="51"/>
      <c r="L20" s="51"/>
    </row>
    <row r="21" ht="13.5" customHeight="1">
      <c r="A21" s="34">
        <v>200.0</v>
      </c>
      <c r="B21" s="34">
        <v>225.0</v>
      </c>
      <c r="C21" s="50">
        <v>0.1</v>
      </c>
      <c r="D21" s="27"/>
      <c r="E21" s="50">
        <v>0.12</v>
      </c>
      <c r="F21" s="27"/>
      <c r="G21" s="34">
        <v>1.45</v>
      </c>
      <c r="H21" s="34">
        <v>1.8</v>
      </c>
      <c r="I21" s="34">
        <v>3.7</v>
      </c>
      <c r="J21" s="34">
        <v>4.45</v>
      </c>
      <c r="K21" s="51"/>
      <c r="L21" s="51"/>
    </row>
    <row r="22" ht="13.5" customHeight="1">
      <c r="A22" s="34">
        <v>225.0</v>
      </c>
      <c r="B22" s="34">
        <v>250.0</v>
      </c>
      <c r="C22" s="50">
        <v>0.11</v>
      </c>
      <c r="D22" s="27"/>
      <c r="E22" s="50">
        <v>0.13</v>
      </c>
      <c r="F22" s="27"/>
      <c r="G22" s="34">
        <v>1.6</v>
      </c>
      <c r="H22" s="34">
        <v>1.95</v>
      </c>
      <c r="I22" s="34">
        <v>4.0</v>
      </c>
      <c r="J22" s="34">
        <v>4.85</v>
      </c>
      <c r="K22" s="51"/>
      <c r="L22" s="51"/>
    </row>
    <row r="23" ht="13.5" customHeight="1">
      <c r="A23" s="34">
        <v>250.0</v>
      </c>
      <c r="B23" s="34">
        <v>250.0</v>
      </c>
      <c r="C23" s="50">
        <v>0.12</v>
      </c>
      <c r="D23" s="27"/>
      <c r="E23" s="50">
        <v>0.15</v>
      </c>
      <c r="F23" s="27"/>
      <c r="G23" s="34">
        <v>1.8</v>
      </c>
      <c r="H23" s="34">
        <v>2.15</v>
      </c>
      <c r="I23" s="34">
        <v>4.5</v>
      </c>
      <c r="J23" s="34">
        <v>5.4</v>
      </c>
      <c r="K23" s="51"/>
      <c r="L23" s="51"/>
    </row>
    <row r="24" ht="13.5" customHeight="1">
      <c r="A24" s="34">
        <v>280.0</v>
      </c>
      <c r="B24" s="34">
        <v>315.0</v>
      </c>
      <c r="C24" s="50">
        <v>0.135</v>
      </c>
      <c r="D24" s="27"/>
      <c r="E24" s="50">
        <v>0.165</v>
      </c>
      <c r="F24" s="27"/>
      <c r="G24" s="34">
        <v>2.0</v>
      </c>
      <c r="H24" s="34">
        <v>2.4</v>
      </c>
      <c r="I24" s="34">
        <v>4.95</v>
      </c>
      <c r="J24" s="34">
        <v>6.0</v>
      </c>
      <c r="K24" s="51"/>
      <c r="L24" s="51"/>
    </row>
    <row r="25" ht="13.5" customHeight="1">
      <c r="A25" s="34">
        <v>315.0</v>
      </c>
      <c r="B25" s="34">
        <v>355.0</v>
      </c>
      <c r="C25" s="50">
        <v>0.15</v>
      </c>
      <c r="D25" s="27"/>
      <c r="E25" s="50">
        <v>0.18</v>
      </c>
      <c r="F25" s="27"/>
      <c r="G25" s="34">
        <v>2.15</v>
      </c>
      <c r="H25" s="34">
        <v>2.65</v>
      </c>
      <c r="I25" s="34">
        <v>5.4</v>
      </c>
      <c r="J25" s="34">
        <v>6.6</v>
      </c>
      <c r="K25" s="51"/>
      <c r="L25" s="51"/>
    </row>
    <row r="26" ht="13.5" customHeight="1">
      <c r="A26" s="34">
        <v>355.0</v>
      </c>
      <c r="B26" s="34">
        <v>400.0</v>
      </c>
      <c r="C26" s="50">
        <v>0.17</v>
      </c>
      <c r="D26" s="27"/>
      <c r="E26" s="50">
        <v>0.21</v>
      </c>
      <c r="F26" s="27"/>
      <c r="G26" s="34">
        <v>2.5</v>
      </c>
      <c r="H26" s="34">
        <v>3.0</v>
      </c>
      <c r="I26" s="34">
        <v>6.2</v>
      </c>
      <c r="J26" s="34">
        <v>7.6</v>
      </c>
      <c r="K26" s="51"/>
      <c r="L26" s="51"/>
    </row>
    <row r="27" ht="13.5" customHeight="1">
      <c r="A27" s="34">
        <v>400.0</v>
      </c>
      <c r="B27" s="34">
        <v>450.0</v>
      </c>
      <c r="C27" s="50">
        <v>0.195</v>
      </c>
      <c r="D27" s="27"/>
      <c r="E27" s="50">
        <v>0.235</v>
      </c>
      <c r="F27" s="27"/>
      <c r="G27" s="34">
        <v>2.8</v>
      </c>
      <c r="H27" s="34">
        <v>3.4</v>
      </c>
      <c r="I27" s="34">
        <v>7.0</v>
      </c>
      <c r="J27" s="34">
        <v>8.5</v>
      </c>
      <c r="K27" s="51"/>
      <c r="L27" s="51"/>
    </row>
    <row r="28" ht="13.5" customHeight="1">
      <c r="A28" s="34">
        <v>450.0</v>
      </c>
      <c r="B28" s="34">
        <v>500.0</v>
      </c>
      <c r="C28" s="50">
        <v>0.215</v>
      </c>
      <c r="D28" s="27"/>
      <c r="E28" s="50">
        <v>0.265</v>
      </c>
      <c r="F28" s="27"/>
      <c r="G28" s="34">
        <v>3.1</v>
      </c>
      <c r="H28" s="34">
        <v>3.8</v>
      </c>
      <c r="I28" s="34">
        <v>7.8</v>
      </c>
      <c r="J28" s="34">
        <v>9.5</v>
      </c>
      <c r="K28" s="51"/>
      <c r="L28" s="51"/>
    </row>
    <row r="29" ht="13.5" customHeight="1">
      <c r="A29" s="34">
        <v>500.0</v>
      </c>
      <c r="B29" s="34">
        <v>560.0</v>
      </c>
      <c r="C29" s="50">
        <v>0.245</v>
      </c>
      <c r="D29" s="27"/>
      <c r="E29" s="50">
        <v>0.3</v>
      </c>
      <c r="F29" s="27"/>
      <c r="G29" s="34">
        <v>3.4</v>
      </c>
      <c r="H29" s="34">
        <v>4.1</v>
      </c>
      <c r="I29" s="34">
        <v>8.4</v>
      </c>
      <c r="J29" s="34">
        <v>10.3</v>
      </c>
      <c r="K29" s="51"/>
      <c r="L29" s="51"/>
    </row>
    <row r="30" ht="13.5" customHeight="1">
      <c r="A30" s="34">
        <v>560.0</v>
      </c>
      <c r="B30" s="34">
        <v>630.0</v>
      </c>
      <c r="C30" s="50">
        <v>0.275</v>
      </c>
      <c r="D30" s="27"/>
      <c r="E30" s="50">
        <v>0.34</v>
      </c>
      <c r="F30" s="27"/>
      <c r="G30" s="34">
        <v>3.8</v>
      </c>
      <c r="H30" s="34">
        <v>4.65</v>
      </c>
      <c r="I30" s="34">
        <v>9.5</v>
      </c>
      <c r="J30" s="34">
        <v>11.6</v>
      </c>
      <c r="K30" s="51"/>
      <c r="L30" s="51"/>
    </row>
    <row r="31" ht="13.5" customHeight="1">
      <c r="A31" s="34">
        <v>630.0</v>
      </c>
      <c r="B31" s="34">
        <v>710.0</v>
      </c>
      <c r="C31" s="50">
        <v>0.31</v>
      </c>
      <c r="D31" s="27"/>
      <c r="E31" s="50">
        <v>0.3</v>
      </c>
      <c r="F31" s="27"/>
      <c r="G31" s="34">
        <v>4.25</v>
      </c>
      <c r="H31" s="34">
        <v>5.2</v>
      </c>
      <c r="I31" s="34">
        <v>10.6</v>
      </c>
      <c r="J31" s="34">
        <v>13.0</v>
      </c>
      <c r="K31" s="51"/>
      <c r="L31" s="51"/>
    </row>
    <row r="32" ht="13.5" customHeight="1">
      <c r="A32" s="34">
        <v>710.0</v>
      </c>
      <c r="B32" s="34">
        <v>800.0</v>
      </c>
      <c r="C32" s="50">
        <v>0.35</v>
      </c>
      <c r="D32" s="27"/>
      <c r="E32" s="50">
        <v>0.425</v>
      </c>
      <c r="F32" s="27"/>
      <c r="G32" s="34">
        <v>4.75</v>
      </c>
      <c r="H32" s="34">
        <v>5.8</v>
      </c>
      <c r="I32" s="34">
        <v>11.9</v>
      </c>
      <c r="J32" s="34">
        <v>14.5</v>
      </c>
      <c r="K32" s="51"/>
      <c r="L32" s="51"/>
    </row>
    <row r="33" ht="13.5" customHeight="1">
      <c r="A33" s="34">
        <v>800.0</v>
      </c>
      <c r="B33" s="34">
        <v>900.0</v>
      </c>
      <c r="C33" s="50">
        <v>0.395</v>
      </c>
      <c r="D33" s="27"/>
      <c r="E33" s="50">
        <v>0.48</v>
      </c>
      <c r="F33" s="27"/>
      <c r="G33" s="34">
        <v>5.4</v>
      </c>
      <c r="H33" s="34">
        <v>6.6</v>
      </c>
      <c r="I33" s="34">
        <v>13.5</v>
      </c>
      <c r="J33" s="34">
        <v>16.4</v>
      </c>
      <c r="K33" s="51"/>
      <c r="L33" s="51"/>
    </row>
    <row r="34" ht="13.5" customHeight="1">
      <c r="A34" s="34">
        <v>900.0</v>
      </c>
      <c r="B34" s="34">
        <v>1000.0</v>
      </c>
      <c r="C34" s="50">
        <v>0.44</v>
      </c>
      <c r="D34" s="27"/>
      <c r="E34" s="50">
        <v>0.535</v>
      </c>
      <c r="F34" s="27"/>
      <c r="G34" s="34">
        <v>6.0</v>
      </c>
      <c r="H34" s="34">
        <v>7.3</v>
      </c>
      <c r="I34" s="34">
        <v>15.0</v>
      </c>
      <c r="J34" s="34">
        <v>18.3</v>
      </c>
      <c r="K34" s="51"/>
      <c r="L34" s="51"/>
    </row>
    <row r="35" ht="13.5" customHeight="1">
      <c r="A35" s="34">
        <v>1000.0</v>
      </c>
      <c r="B35" s="34">
        <v>1120.0</v>
      </c>
      <c r="C35" s="50">
        <v>0.49</v>
      </c>
      <c r="D35" s="27"/>
      <c r="E35" s="50">
        <v>0.6</v>
      </c>
      <c r="F35" s="27"/>
      <c r="G35" s="34">
        <v>6.4</v>
      </c>
      <c r="H35" s="34">
        <v>7.8</v>
      </c>
      <c r="I35" s="34">
        <v>16.0</v>
      </c>
      <c r="J35" s="34">
        <v>19.5</v>
      </c>
      <c r="K35" s="51"/>
      <c r="L35" s="51"/>
    </row>
    <row r="36" ht="13.5" customHeight="1">
      <c r="A36" s="34">
        <v>1120.0</v>
      </c>
      <c r="B36" s="34">
        <v>1250.0</v>
      </c>
      <c r="C36" s="50">
        <v>0.55</v>
      </c>
      <c r="D36" s="27"/>
      <c r="E36" s="50">
        <v>0.67</v>
      </c>
      <c r="F36" s="27"/>
      <c r="G36" s="34">
        <v>7.1</v>
      </c>
      <c r="H36" s="34">
        <v>8.7</v>
      </c>
      <c r="I36" s="34">
        <v>17.8</v>
      </c>
      <c r="J36" s="34">
        <v>21.7</v>
      </c>
      <c r="K36" s="51"/>
      <c r="L36" s="51"/>
    </row>
    <row r="37" ht="13.5" customHeight="1">
      <c r="A37" s="34">
        <v>1250.0</v>
      </c>
      <c r="B37" s="34">
        <v>1400.0</v>
      </c>
      <c r="C37" s="50">
        <v>0.61</v>
      </c>
      <c r="D37" s="27"/>
      <c r="E37" s="50">
        <v>0.75</v>
      </c>
      <c r="F37" s="27"/>
      <c r="G37" s="34">
        <v>8.0</v>
      </c>
      <c r="H37" s="34">
        <v>9.7</v>
      </c>
      <c r="I37" s="34">
        <v>19.9</v>
      </c>
      <c r="J37" s="34">
        <v>24.3</v>
      </c>
      <c r="K37" s="51"/>
      <c r="L37" s="51"/>
    </row>
    <row r="38" ht="13.5" customHeight="1">
      <c r="A38" s="34">
        <v>1400.0</v>
      </c>
      <c r="B38" s="34">
        <v>1600.0</v>
      </c>
      <c r="C38" s="50">
        <v>0.7</v>
      </c>
      <c r="D38" s="27"/>
      <c r="E38" s="50">
        <v>0.85</v>
      </c>
      <c r="F38" s="27"/>
      <c r="G38" s="34">
        <v>9.1</v>
      </c>
      <c r="H38" s="34">
        <v>11.1</v>
      </c>
      <c r="I38" s="34">
        <v>22.7</v>
      </c>
      <c r="J38" s="34">
        <v>27.7</v>
      </c>
      <c r="K38" s="51"/>
      <c r="L38" s="51"/>
    </row>
    <row r="39" ht="13.5" customHeight="1">
      <c r="A39" s="34">
        <v>1600.0</v>
      </c>
      <c r="B39" s="34">
        <v>1800.0</v>
      </c>
      <c r="C39" s="50">
        <v>0.79</v>
      </c>
      <c r="D39" s="27"/>
      <c r="E39" s="50">
        <v>0.96</v>
      </c>
      <c r="F39" s="27"/>
      <c r="G39" s="34">
        <v>10.2</v>
      </c>
      <c r="H39" s="34">
        <v>12.5</v>
      </c>
      <c r="I39" s="34">
        <v>25.6</v>
      </c>
      <c r="J39" s="34">
        <v>31.2</v>
      </c>
      <c r="K39" s="51"/>
      <c r="L39" s="51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76">
    <mergeCell ref="C22:D22"/>
    <mergeCell ref="C23:D23"/>
    <mergeCell ref="C24:D24"/>
    <mergeCell ref="C25:D25"/>
    <mergeCell ref="C26:D26"/>
    <mergeCell ref="C27:D27"/>
    <mergeCell ref="C28:D28"/>
    <mergeCell ref="C36:D36"/>
    <mergeCell ref="C37:D37"/>
    <mergeCell ref="C38:D38"/>
    <mergeCell ref="C39:D39"/>
    <mergeCell ref="C29:D29"/>
    <mergeCell ref="C30:D30"/>
    <mergeCell ref="C31:D31"/>
    <mergeCell ref="C32:D32"/>
    <mergeCell ref="C33:D33"/>
    <mergeCell ref="C34:D34"/>
    <mergeCell ref="C35:D35"/>
    <mergeCell ref="E37:F37"/>
    <mergeCell ref="E38:F38"/>
    <mergeCell ref="E39:F39"/>
    <mergeCell ref="E30:F30"/>
    <mergeCell ref="E31:F31"/>
    <mergeCell ref="E32:F32"/>
    <mergeCell ref="E33:F33"/>
    <mergeCell ref="E34:F34"/>
    <mergeCell ref="E35:F35"/>
    <mergeCell ref="E36:F36"/>
    <mergeCell ref="K10:L10"/>
    <mergeCell ref="K11:L11"/>
    <mergeCell ref="K12:L12"/>
    <mergeCell ref="K13:L13"/>
    <mergeCell ref="K14:L14"/>
    <mergeCell ref="K15:L15"/>
    <mergeCell ref="A3:G4"/>
    <mergeCell ref="A7:B8"/>
    <mergeCell ref="G7:J7"/>
    <mergeCell ref="K7:L7"/>
    <mergeCell ref="G8:H8"/>
    <mergeCell ref="I8:J8"/>
    <mergeCell ref="K8:L9"/>
    <mergeCell ref="C7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E15:F15"/>
    <mergeCell ref="C15:D15"/>
    <mergeCell ref="C16:D16"/>
    <mergeCell ref="C17:D17"/>
    <mergeCell ref="C18:D18"/>
    <mergeCell ref="C19:D19"/>
    <mergeCell ref="C20:D20"/>
    <mergeCell ref="C21:D21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2023-03-10T16:18:06Z</dcterms:created>
  <dc:creator>Alan Carbajal</dc:creator>
</cp:coreProperties>
</file>